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ky\OneDrive\Documents\2026\IND_PROJ\Honours_Project\"/>
    </mc:Choice>
  </mc:AlternateContent>
  <xr:revisionPtr revIDLastSave="0" documentId="8_{3B7A694C-06C0-4191-841D-3B549D8D67B9}" xr6:coauthVersionLast="47" xr6:coauthVersionMax="47" xr10:uidLastSave="{00000000-0000-0000-0000-000000000000}"/>
  <bookViews>
    <workbookView xWindow="-108" yWindow="-108" windowWidth="23256" windowHeight="13896" xr2:uid="{774C952C-F668-4CC9-9E53-6B907736C7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5" i="1"/>
  <c r="J6" i="1"/>
  <c r="J7" i="1"/>
  <c r="J8" i="1"/>
  <c r="J9" i="1"/>
  <c r="J10" i="1"/>
  <c r="J11" i="1"/>
  <c r="J12" i="1"/>
  <c r="J13" i="1"/>
  <c r="J4" i="1"/>
  <c r="C9" i="1"/>
  <c r="C10" i="1"/>
  <c r="C12" i="1"/>
  <c r="F4" i="1"/>
  <c r="F5" i="1" s="1"/>
  <c r="D5" i="1"/>
  <c r="C5" i="1"/>
  <c r="E5" i="1" l="1"/>
  <c r="D9" i="1"/>
  <c r="D10" i="1"/>
  <c r="C11" i="1"/>
</calcChain>
</file>

<file path=xl/sharedStrings.xml><?xml version="1.0" encoding="utf-8"?>
<sst xmlns="http://schemas.openxmlformats.org/spreadsheetml/2006/main" count="11" uniqueCount="9">
  <si>
    <t>x</t>
  </si>
  <si>
    <t>y</t>
  </si>
  <si>
    <t>step</t>
  </si>
  <si>
    <t>3_act</t>
  </si>
  <si>
    <t>p1</t>
  </si>
  <si>
    <t>p2</t>
  </si>
  <si>
    <t>r</t>
  </si>
  <si>
    <t>t</t>
  </si>
  <si>
    <t>expo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</si>
</sst>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11168482064741907"/>
                  <c:y val="-6.86318897637795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Sheet1!$J$3:$J$13</c:f>
              <c:numCache>
                <c:formatCode>General</c:formatCode>
                <c:ptCount val="11"/>
                <c:pt idx="0">
                  <c:v>0</c:v>
                </c:pt>
                <c:pt idx="1">
                  <c:v>5.0500000000000003E-2</c:v>
                </c:pt>
                <c:pt idx="2">
                  <c:v>0.10400000000000001</c:v>
                </c:pt>
                <c:pt idx="3">
                  <c:v>0.16350000000000001</c:v>
                </c:pt>
                <c:pt idx="4">
                  <c:v>0.23200000000000001</c:v>
                </c:pt>
                <c:pt idx="5">
                  <c:v>0.3125</c:v>
                </c:pt>
                <c:pt idx="6">
                  <c:v>0.40799999999999997</c:v>
                </c:pt>
                <c:pt idx="7">
                  <c:v>0.52149999999999996</c:v>
                </c:pt>
                <c:pt idx="8">
                  <c:v>0.65600000000000014</c:v>
                </c:pt>
                <c:pt idx="9">
                  <c:v>0.8145</c:v>
                </c:pt>
                <c:pt idx="10">
                  <c:v>1</c:v>
                </c:pt>
              </c:numCache>
            </c:numRef>
          </c:xVal>
          <c:yVal>
            <c:numRef>
              <c:f>Sheet1!$K$3:$K$13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FA-43B5-86D4-FBC633541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074175"/>
        <c:axId val="684036255"/>
      </c:scatterChart>
      <c:valAx>
        <c:axId val="68407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036255"/>
        <c:crosses val="autoZero"/>
        <c:crossBetween val="midCat"/>
      </c:valAx>
      <c:valAx>
        <c:axId val="68403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074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13</xdr:row>
      <xdr:rowOff>179070</xdr:rowOff>
    </xdr:from>
    <xdr:to>
      <xdr:col>14</xdr:col>
      <xdr:colOff>144780</xdr:colOff>
      <xdr:row>28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639FCA-D30E-27A8-307A-6CD9916A2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FC0E-28CC-4ACB-B6AB-2F9F688219E8}">
  <dimension ref="B2:M13"/>
  <sheetViews>
    <sheetView tabSelected="1" workbookViewId="0">
      <selection activeCell="H32" sqref="H32"/>
    </sheetView>
  </sheetViews>
  <sheetFormatPr defaultRowHeight="14.4" x14ac:dyDescent="0.3"/>
  <sheetData>
    <row r="2" spans="2:13" x14ac:dyDescent="0.3">
      <c r="J2" t="s">
        <v>0</v>
      </c>
      <c r="K2" t="s">
        <v>1</v>
      </c>
      <c r="M2" t="s">
        <v>8</v>
      </c>
    </row>
    <row r="3" spans="2:13" x14ac:dyDescent="0.3">
      <c r="B3" t="s">
        <v>2</v>
      </c>
      <c r="C3">
        <v>1</v>
      </c>
      <c r="D3">
        <v>2</v>
      </c>
      <c r="E3">
        <v>3</v>
      </c>
      <c r="F3" t="s">
        <v>3</v>
      </c>
      <c r="J3">
        <f>M3*K3^3+K3*(1-M3)</f>
        <v>0</v>
      </c>
      <c r="K3">
        <v>0</v>
      </c>
      <c r="M3">
        <v>0.5</v>
      </c>
    </row>
    <row r="4" spans="2:13" x14ac:dyDescent="0.3">
      <c r="B4" t="s">
        <v>0</v>
      </c>
      <c r="C4">
        <v>2</v>
      </c>
      <c r="D4">
        <v>3</v>
      </c>
      <c r="E4">
        <v>2.9</v>
      </c>
      <c r="F4">
        <f>E4</f>
        <v>2.9</v>
      </c>
      <c r="J4">
        <f>M4*K4^3+K4*(1-M4)</f>
        <v>5.0500000000000003E-2</v>
      </c>
      <c r="K4">
        <v>0.1</v>
      </c>
      <c r="M4">
        <v>0.5</v>
      </c>
    </row>
    <row r="5" spans="2:13" x14ac:dyDescent="0.3">
      <c r="B5" t="s">
        <v>1</v>
      </c>
      <c r="C5">
        <f>C4^2</f>
        <v>4</v>
      </c>
      <c r="D5">
        <f>D4^2</f>
        <v>9</v>
      </c>
      <c r="E5">
        <f>(C10*C5+C9*D5)</f>
        <v>8.5</v>
      </c>
      <c r="F5">
        <f>F4^2</f>
        <v>8.41</v>
      </c>
      <c r="J5">
        <f t="shared" ref="J5:J13" si="0">M5*K5^3+K5*(1-M5)</f>
        <v>0.10400000000000001</v>
      </c>
      <c r="K5">
        <v>0.2</v>
      </c>
      <c r="M5">
        <v>0.5</v>
      </c>
    </row>
    <row r="6" spans="2:13" x14ac:dyDescent="0.3">
      <c r="J6">
        <f t="shared" si="0"/>
        <v>0.16350000000000001</v>
      </c>
      <c r="K6">
        <v>0.3</v>
      </c>
      <c r="M6">
        <v>0.5</v>
      </c>
    </row>
    <row r="7" spans="2:13" x14ac:dyDescent="0.3">
      <c r="J7">
        <f t="shared" si="0"/>
        <v>0.23200000000000001</v>
      </c>
      <c r="K7">
        <v>0.4</v>
      </c>
      <c r="M7">
        <v>0.5</v>
      </c>
    </row>
    <row r="8" spans="2:13" x14ac:dyDescent="0.3">
      <c r="J8">
        <f t="shared" si="0"/>
        <v>0.3125</v>
      </c>
      <c r="K8">
        <v>0.5</v>
      </c>
      <c r="M8">
        <v>0.5</v>
      </c>
    </row>
    <row r="9" spans="2:13" x14ac:dyDescent="0.3">
      <c r="B9" t="s">
        <v>4</v>
      </c>
      <c r="C9">
        <f>E4-C4</f>
        <v>0.89999999999999991</v>
      </c>
      <c r="D9">
        <f>C10/C9</f>
        <v>0.11111111111111122</v>
      </c>
      <c r="J9">
        <f t="shared" si="0"/>
        <v>0.40799999999999997</v>
      </c>
      <c r="K9">
        <v>0.6</v>
      </c>
      <c r="M9">
        <v>0.5</v>
      </c>
    </row>
    <row r="10" spans="2:13" x14ac:dyDescent="0.3">
      <c r="B10" t="s">
        <v>5</v>
      </c>
      <c r="C10">
        <f>D4-E4</f>
        <v>0.10000000000000009</v>
      </c>
      <c r="D10">
        <f>C9/C10</f>
        <v>8.9999999999999911</v>
      </c>
      <c r="J10">
        <f t="shared" si="0"/>
        <v>0.52149999999999996</v>
      </c>
      <c r="K10">
        <v>0.7</v>
      </c>
      <c r="M10">
        <v>0.5</v>
      </c>
    </row>
    <row r="11" spans="2:13" x14ac:dyDescent="0.3">
      <c r="B11" t="s">
        <v>7</v>
      </c>
      <c r="C11">
        <f>C9+C10</f>
        <v>1</v>
      </c>
      <c r="J11">
        <f t="shared" si="0"/>
        <v>0.65600000000000014</v>
      </c>
      <c r="K11">
        <v>0.8</v>
      </c>
      <c r="M11">
        <v>0.5</v>
      </c>
    </row>
    <row r="12" spans="2:13" x14ac:dyDescent="0.3">
      <c r="B12" t="s">
        <v>6</v>
      </c>
      <c r="C12">
        <f>C9/C10</f>
        <v>8.9999999999999911</v>
      </c>
      <c r="J12">
        <f t="shared" si="0"/>
        <v>0.8145</v>
      </c>
      <c r="K12">
        <v>0.9</v>
      </c>
      <c r="M12">
        <v>0.5</v>
      </c>
    </row>
    <row r="13" spans="2:13" x14ac:dyDescent="0.3">
      <c r="J13">
        <f t="shared" si="0"/>
        <v>1</v>
      </c>
      <c r="K13">
        <v>1</v>
      </c>
      <c r="M13"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 Karavas</dc:creator>
  <cp:lastModifiedBy>Lincoln Karavas</cp:lastModifiedBy>
  <dcterms:created xsi:type="dcterms:W3CDTF">2026-05-16T08:27:29Z</dcterms:created>
  <dcterms:modified xsi:type="dcterms:W3CDTF">2026-05-16T12:54:39Z</dcterms:modified>
</cp:coreProperties>
</file>